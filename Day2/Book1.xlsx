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\Desktop\R.Sharanjana\ICT(P)\"/>
    </mc:Choice>
  </mc:AlternateContent>
  <xr:revisionPtr revIDLastSave="0" documentId="13_ncr:1_{7A634AA4-3179-49D4-B2FF-AF311656F8FD}" xr6:coauthVersionLast="47" xr6:coauthVersionMax="47" xr10:uidLastSave="{00000000-0000-0000-0000-000000000000}"/>
  <bookViews>
    <workbookView xWindow="-108" yWindow="-108" windowWidth="23256" windowHeight="13896" activeTab="1" xr2:uid="{8701E2EA-2E05-4FE8-9A0D-4BA51425A7D5}"/>
  </bookViews>
  <sheets>
    <sheet name="Emplyee Paysheet" sheetId="1" r:id="rId1"/>
    <sheet name="sort by assending" sheetId="2" r:id="rId2"/>
  </sheets>
  <definedNames>
    <definedName name="_xlnm._FilterDatabase" localSheetId="1" hidden="1">'sort by assending'!$E$1:$E$11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  <c r="I2" i="2"/>
  <c r="I3" i="2"/>
  <c r="I4" i="2"/>
  <c r="I5" i="2"/>
  <c r="I6" i="2"/>
  <c r="I7" i="2"/>
  <c r="I8" i="2"/>
  <c r="I9" i="2"/>
  <c r="I10" i="2"/>
  <c r="I11" i="2"/>
  <c r="D14" i="2"/>
  <c r="L11" i="2"/>
  <c r="M11" i="2" s="1"/>
  <c r="K11" i="2"/>
  <c r="N11" i="2" s="1"/>
  <c r="L8" i="2"/>
  <c r="M8" i="2" s="1"/>
  <c r="K8" i="2"/>
  <c r="L7" i="2"/>
  <c r="M7" i="2" s="1"/>
  <c r="K7" i="2"/>
  <c r="L6" i="2"/>
  <c r="M6" i="2" s="1"/>
  <c r="K6" i="2"/>
  <c r="N6" i="2" s="1"/>
  <c r="L5" i="2"/>
  <c r="M5" i="2" s="1"/>
  <c r="K5" i="2"/>
  <c r="L10" i="2"/>
  <c r="M10" i="2" s="1"/>
  <c r="K10" i="2"/>
  <c r="N10" i="2" s="1"/>
  <c r="L4" i="2"/>
  <c r="M4" i="2" s="1"/>
  <c r="K4" i="2"/>
  <c r="L2" i="2"/>
  <c r="M2" i="2" s="1"/>
  <c r="K2" i="2"/>
  <c r="L3" i="2"/>
  <c r="M3" i="2" s="1"/>
  <c r="K3" i="2"/>
  <c r="L9" i="2"/>
  <c r="M9" i="2" s="1"/>
  <c r="K9" i="2"/>
  <c r="D14" i="1"/>
  <c r="C14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I2" i="1"/>
  <c r="I3" i="1"/>
  <c r="I4" i="1"/>
  <c r="I5" i="1"/>
  <c r="I6" i="1"/>
  <c r="I7" i="1"/>
  <c r="I8" i="1"/>
  <c r="I9" i="1"/>
  <c r="I10" i="1"/>
  <c r="I11" i="1"/>
  <c r="O6" i="2" l="1"/>
  <c r="P6" i="2" s="1"/>
  <c r="O10" i="2"/>
  <c r="P10" i="2" s="1"/>
  <c r="O11" i="2"/>
  <c r="P11" i="2" s="1"/>
  <c r="N3" i="2"/>
  <c r="O3" i="2" s="1"/>
  <c r="P3" i="2" s="1"/>
  <c r="N8" i="2"/>
  <c r="O8" i="2" s="1"/>
  <c r="P8" i="2" s="1"/>
  <c r="N4" i="2"/>
  <c r="O4" i="2" s="1"/>
  <c r="P4" i="2" s="1"/>
  <c r="N5" i="2"/>
  <c r="O5" i="2" s="1"/>
  <c r="P5" i="2" s="1"/>
  <c r="N9" i="2"/>
  <c r="O9" i="2" s="1"/>
  <c r="P9" i="2" s="1"/>
  <c r="N7" i="2"/>
  <c r="O7" i="2" s="1"/>
  <c r="P7" i="2" s="1"/>
  <c r="N2" i="2"/>
  <c r="O2" i="2" s="1"/>
  <c r="P2" i="2" s="1"/>
  <c r="C14" i="2" l="1"/>
</calcChain>
</file>

<file path=xl/sharedStrings.xml><?xml version="1.0" encoding="utf-8"?>
<sst xmlns="http://schemas.openxmlformats.org/spreadsheetml/2006/main" count="126" uniqueCount="45">
  <si>
    <t>EPF No</t>
  </si>
  <si>
    <t>Full Name</t>
  </si>
  <si>
    <t>Designation</t>
  </si>
  <si>
    <t xml:space="preserve">Department </t>
  </si>
  <si>
    <t>No of Days Worked</t>
  </si>
  <si>
    <t>Rate per day</t>
  </si>
  <si>
    <t>OT Hours</t>
  </si>
  <si>
    <t>Deduction</t>
  </si>
  <si>
    <t>ABC001</t>
  </si>
  <si>
    <t>Bennett Kean Bryce</t>
  </si>
  <si>
    <t>Manager</t>
  </si>
  <si>
    <t>finance</t>
  </si>
  <si>
    <t>ABC002</t>
  </si>
  <si>
    <t>Benavides Josue Yanuel</t>
  </si>
  <si>
    <t>Clerk</t>
  </si>
  <si>
    <t>ABC003</t>
  </si>
  <si>
    <t>Belfield Ann Lillian</t>
  </si>
  <si>
    <t>Admin</t>
  </si>
  <si>
    <t>admin</t>
  </si>
  <si>
    <t>ABC004</t>
  </si>
  <si>
    <t>Griffin Rose Amelia</t>
  </si>
  <si>
    <t>ABC005</t>
  </si>
  <si>
    <t>Ayaan Marie Kaylee</t>
  </si>
  <si>
    <t>computer</t>
  </si>
  <si>
    <t>ABC006</t>
  </si>
  <si>
    <t>Ray French Daniel</t>
  </si>
  <si>
    <t>ABC007</t>
  </si>
  <si>
    <t>Friedman Jeffrey Michael</t>
  </si>
  <si>
    <t>ABC008</t>
  </si>
  <si>
    <t>Hulken Guerra Colten</t>
  </si>
  <si>
    <t>ABC009</t>
  </si>
  <si>
    <t>Riley Bailey Miller</t>
  </si>
  <si>
    <t>ABC010</t>
  </si>
  <si>
    <t>Xavier Miguel Marcus</t>
  </si>
  <si>
    <t>Allowance Rate</t>
  </si>
  <si>
    <t>Total net salary</t>
  </si>
  <si>
    <t>count</t>
  </si>
  <si>
    <t>first name</t>
  </si>
  <si>
    <t>middle name</t>
  </si>
  <si>
    <t>basic salary</t>
  </si>
  <si>
    <t>ot rate</t>
  </si>
  <si>
    <t>ot amount</t>
  </si>
  <si>
    <t>allowanace</t>
  </si>
  <si>
    <t>gross salary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</si>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</sst>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s.-849]\ * #,##0.00_-;\-[$Rs.-849]\ * #,##0.00_-;_-[$Rs.-849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'Emplyee Paysheet'!$E$1</c:f>
              <c:strCache>
                <c:ptCount val="1"/>
                <c:pt idx="0">
                  <c:v>No of Days Worked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0B-4FFC-89D2-0267D16478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0B-4FFC-89D2-0267D16478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0B-4FFC-89D2-0267D16478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0B-4FFC-89D2-0267D16478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0B-4FFC-89D2-0267D16478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0B-4FFC-89D2-0267D16478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0B-4FFC-89D2-0267D16478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0B-4FFC-89D2-0267D16478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0B-4FFC-89D2-0267D164782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0B-4FFC-89D2-0267D164782D}"/>
              </c:ext>
            </c:extLst>
          </c:dPt>
          <c:val>
            <c:numRef>
              <c:f>'Emplyee Paysheet'!$E$2:$E$11</c:f>
              <c:numCache>
                <c:formatCode>General</c:formatCode>
                <c:ptCount val="10"/>
                <c:pt idx="0">
                  <c:v>27</c:v>
                </c:pt>
                <c:pt idx="1">
                  <c:v>26</c:v>
                </c:pt>
                <c:pt idx="2">
                  <c:v>20</c:v>
                </c:pt>
                <c:pt idx="3">
                  <c:v>26</c:v>
                </c:pt>
                <c:pt idx="4">
                  <c:v>28</c:v>
                </c:pt>
                <c:pt idx="5">
                  <c:v>18</c:v>
                </c:pt>
                <c:pt idx="6">
                  <c:v>22</c:v>
                </c:pt>
                <c:pt idx="7">
                  <c:v>25</c:v>
                </c:pt>
                <c:pt idx="8">
                  <c:v>27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C-423A-908E-B9F4181BF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C-489A-9783-9A4E1B09E6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C-489A-9783-9A4E1B09E6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0C-489A-9783-9A4E1B09E6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0C-489A-9783-9A4E1B09E6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0C-489A-9783-9A4E1B09E6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0C-489A-9783-9A4E1B09E6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0C-489A-9783-9A4E1B09E6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20C-489A-9783-9A4E1B09E6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20C-489A-9783-9A4E1B09E6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20C-489A-9783-9A4E1B09E635}"/>
              </c:ext>
            </c:extLst>
          </c:dPt>
          <c:cat>
            <c:strRef>
              <c:f>'sort by assending'!$A$2:$A$11</c:f>
              <c:strCache>
                <c:ptCount val="10"/>
                <c:pt idx="0">
                  <c:v>ABC003</c:v>
                </c:pt>
                <c:pt idx="1">
                  <c:v>ABC002</c:v>
                </c:pt>
                <c:pt idx="2">
                  <c:v>ABC004</c:v>
                </c:pt>
                <c:pt idx="3">
                  <c:v>ABC006</c:v>
                </c:pt>
                <c:pt idx="4">
                  <c:v>ABC007</c:v>
                </c:pt>
                <c:pt idx="5">
                  <c:v>ABC008</c:v>
                </c:pt>
                <c:pt idx="6">
                  <c:v>ABC009</c:v>
                </c:pt>
                <c:pt idx="7">
                  <c:v>ABC001</c:v>
                </c:pt>
                <c:pt idx="8">
                  <c:v>ABC005</c:v>
                </c:pt>
                <c:pt idx="9">
                  <c:v>ABC010</c:v>
                </c:pt>
              </c:strCache>
            </c:strRef>
          </c:cat>
          <c:val>
            <c:numRef>
              <c:f>'sort by assending'!$E$2:$E$11</c:f>
              <c:numCache>
                <c:formatCode>General</c:formatCode>
                <c:ptCount val="10"/>
                <c:pt idx="0">
                  <c:v>20</c:v>
                </c:pt>
                <c:pt idx="1">
                  <c:v>26</c:v>
                </c:pt>
                <c:pt idx="2">
                  <c:v>26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27</c:v>
                </c:pt>
                <c:pt idx="7">
                  <c:v>27</c:v>
                </c:pt>
                <c:pt idx="8">
                  <c:v>28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A-4C8F-A44F-BEB1F60C0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24</xdr:row>
      <xdr:rowOff>76200</xdr:rowOff>
    </xdr:from>
    <xdr:to>
      <xdr:col>6</xdr:col>
      <xdr:colOff>441960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184E98-472F-58CB-D382-CD2C8A2A6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16</xdr:row>
      <xdr:rowOff>163830</xdr:rowOff>
    </xdr:from>
    <xdr:to>
      <xdr:col>13</xdr:col>
      <xdr:colOff>502920</xdr:colOff>
      <xdr:row>34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E51115-C59B-ECA4-B798-CD2D239EA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7225-BED9-47FB-926B-327E67F9DE4B}">
  <dimension ref="A1:P16"/>
  <sheetViews>
    <sheetView view="pageLayout" zoomScaleNormal="100" workbookViewId="0">
      <selection activeCell="B19" sqref="A1:XFD1048576"/>
    </sheetView>
  </sheetViews>
  <sheetFormatPr defaultRowHeight="14.4" x14ac:dyDescent="0.3"/>
  <cols>
    <col min="2" max="2" width="21.77734375" bestFit="1" customWidth="1"/>
    <col min="3" max="3" width="14.33203125" bestFit="1" customWidth="1"/>
    <col min="9" max="9" width="13.77734375" bestFit="1" customWidth="1"/>
    <col min="10" max="10" width="11.88671875" customWidth="1"/>
    <col min="11" max="11" width="10.5546875" customWidth="1"/>
    <col min="12" max="12" width="6.77734375" customWidth="1"/>
    <col min="14" max="14" width="10.33203125" customWidth="1"/>
    <col min="15" max="16" width="13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 x14ac:dyDescent="0.3">
      <c r="A2" t="s">
        <v>8</v>
      </c>
      <c r="B2" t="s">
        <v>9</v>
      </c>
      <c r="C2" t="s">
        <v>10</v>
      </c>
      <c r="D2" t="s">
        <v>11</v>
      </c>
      <c r="E2">
        <v>27</v>
      </c>
      <c r="F2">
        <v>1250</v>
      </c>
      <c r="G2">
        <v>20</v>
      </c>
      <c r="H2">
        <v>1200</v>
      </c>
      <c r="I2" t="str">
        <f>LEFT(B2,LEN(B2)-SEARCH(" ",B2))</f>
        <v>Bennett Ke</v>
      </c>
      <c r="K2">
        <f>E2*F2</f>
        <v>33750</v>
      </c>
      <c r="L2">
        <f>(F2/8)*1.5</f>
        <v>234.375</v>
      </c>
      <c r="M2">
        <f>L2*G2</f>
        <v>4687.5</v>
      </c>
      <c r="N2">
        <f>VLOOKUP(C2,$A$13:$B$16,2,FALSE)*K2</f>
        <v>15187.5</v>
      </c>
      <c r="O2" s="2">
        <f>K2+M2+N2</f>
        <v>53625</v>
      </c>
      <c r="P2" s="2">
        <f>O2-H2</f>
        <v>52425</v>
      </c>
    </row>
    <row r="3" spans="1:16" x14ac:dyDescent="0.3">
      <c r="A3" t="s">
        <v>12</v>
      </c>
      <c r="B3" t="s">
        <v>13</v>
      </c>
      <c r="C3" t="s">
        <v>14</v>
      </c>
      <c r="D3" t="s">
        <v>11</v>
      </c>
      <c r="E3">
        <v>26</v>
      </c>
      <c r="F3">
        <v>500</v>
      </c>
      <c r="G3">
        <v>10</v>
      </c>
      <c r="H3">
        <v>0</v>
      </c>
      <c r="I3" t="str">
        <f t="shared" ref="I3:I11" si="0">LEFT(B3,LEN(B3)-SEARCH(" ",B3))</f>
        <v>Benavides Jo</v>
      </c>
      <c r="K3">
        <f t="shared" ref="K3:K11" si="1">E3*F3</f>
        <v>13000</v>
      </c>
      <c r="L3">
        <f t="shared" ref="L3:L11" si="2">(F3/8)*1.5</f>
        <v>93.75</v>
      </c>
      <c r="M3">
        <f t="shared" ref="M3:M11" si="3">L3*G3</f>
        <v>937.5</v>
      </c>
      <c r="N3">
        <f t="shared" ref="N3:N11" si="4">VLOOKUP(C3,$A$13:$B$16,2,FALSE)*K3</f>
        <v>1950</v>
      </c>
      <c r="O3" s="2">
        <f t="shared" ref="O3:O11" si="5">K3+M3+N3</f>
        <v>15887.5</v>
      </c>
      <c r="P3" s="2">
        <f t="shared" ref="P3:P11" si="6">O3-H3</f>
        <v>15887.5</v>
      </c>
    </row>
    <row r="4" spans="1:16" x14ac:dyDescent="0.3">
      <c r="A4" t="s">
        <v>15</v>
      </c>
      <c r="B4" t="s">
        <v>16</v>
      </c>
      <c r="C4" t="s">
        <v>17</v>
      </c>
      <c r="D4" t="s">
        <v>18</v>
      </c>
      <c r="E4">
        <v>20</v>
      </c>
      <c r="F4">
        <v>1500</v>
      </c>
      <c r="G4">
        <v>7</v>
      </c>
      <c r="H4">
        <v>450</v>
      </c>
      <c r="I4" t="str">
        <f t="shared" si="0"/>
        <v>Belfield An</v>
      </c>
      <c r="K4">
        <f t="shared" si="1"/>
        <v>30000</v>
      </c>
      <c r="L4">
        <f t="shared" si="2"/>
        <v>281.25</v>
      </c>
      <c r="M4">
        <f t="shared" si="3"/>
        <v>1968.75</v>
      </c>
      <c r="N4">
        <f t="shared" si="4"/>
        <v>7500</v>
      </c>
      <c r="O4" s="2">
        <f t="shared" si="5"/>
        <v>39468.75</v>
      </c>
      <c r="P4" s="2">
        <f t="shared" si="6"/>
        <v>39018.75</v>
      </c>
    </row>
    <row r="5" spans="1:16" x14ac:dyDescent="0.3">
      <c r="A5" t="s">
        <v>19</v>
      </c>
      <c r="B5" t="s">
        <v>20</v>
      </c>
      <c r="C5" t="s">
        <v>14</v>
      </c>
      <c r="D5" t="s">
        <v>18</v>
      </c>
      <c r="E5">
        <v>26</v>
      </c>
      <c r="F5">
        <v>650</v>
      </c>
      <c r="G5">
        <v>14</v>
      </c>
      <c r="H5">
        <v>760</v>
      </c>
      <c r="I5" t="str">
        <f t="shared" si="0"/>
        <v>Griffin Ros</v>
      </c>
      <c r="K5">
        <f t="shared" si="1"/>
        <v>16900</v>
      </c>
      <c r="L5">
        <f t="shared" si="2"/>
        <v>121.875</v>
      </c>
      <c r="M5">
        <f t="shared" si="3"/>
        <v>1706.25</v>
      </c>
      <c r="N5">
        <f t="shared" si="4"/>
        <v>2535</v>
      </c>
      <c r="O5" s="2">
        <f t="shared" si="5"/>
        <v>21141.25</v>
      </c>
      <c r="P5" s="2">
        <f t="shared" si="6"/>
        <v>20381.25</v>
      </c>
    </row>
    <row r="6" spans="1:16" x14ac:dyDescent="0.3">
      <c r="A6" t="s">
        <v>21</v>
      </c>
      <c r="B6" t="s">
        <v>22</v>
      </c>
      <c r="C6" t="s">
        <v>10</v>
      </c>
      <c r="D6" t="s">
        <v>23</v>
      </c>
      <c r="E6">
        <v>28</v>
      </c>
      <c r="F6">
        <v>1400</v>
      </c>
      <c r="G6">
        <v>12</v>
      </c>
      <c r="H6">
        <v>550</v>
      </c>
      <c r="I6" t="str">
        <f t="shared" si="0"/>
        <v xml:space="preserve">Ayaan Marie </v>
      </c>
      <c r="K6">
        <f t="shared" si="1"/>
        <v>39200</v>
      </c>
      <c r="L6">
        <f t="shared" si="2"/>
        <v>262.5</v>
      </c>
      <c r="M6">
        <f t="shared" si="3"/>
        <v>3150</v>
      </c>
      <c r="N6">
        <f t="shared" si="4"/>
        <v>17640</v>
      </c>
      <c r="O6" s="2">
        <f t="shared" si="5"/>
        <v>59990</v>
      </c>
      <c r="P6" s="2">
        <f t="shared" si="6"/>
        <v>59440</v>
      </c>
    </row>
    <row r="7" spans="1:16" x14ac:dyDescent="0.3">
      <c r="A7" t="s">
        <v>24</v>
      </c>
      <c r="B7" t="s">
        <v>25</v>
      </c>
      <c r="C7" t="s">
        <v>14</v>
      </c>
      <c r="D7" t="s">
        <v>23</v>
      </c>
      <c r="E7">
        <v>18</v>
      </c>
      <c r="F7">
        <v>600</v>
      </c>
      <c r="G7">
        <v>10</v>
      </c>
      <c r="H7">
        <v>1250</v>
      </c>
      <c r="I7" t="str">
        <f t="shared" si="0"/>
        <v>Ray French Da</v>
      </c>
      <c r="K7">
        <f t="shared" si="1"/>
        <v>10800</v>
      </c>
      <c r="L7">
        <f t="shared" si="2"/>
        <v>112.5</v>
      </c>
      <c r="M7">
        <f t="shared" si="3"/>
        <v>1125</v>
      </c>
      <c r="N7">
        <f t="shared" si="4"/>
        <v>1620</v>
      </c>
      <c r="O7" s="2">
        <f t="shared" si="5"/>
        <v>13545</v>
      </c>
      <c r="P7" s="2">
        <f t="shared" si="6"/>
        <v>12295</v>
      </c>
    </row>
    <row r="8" spans="1:16" x14ac:dyDescent="0.3">
      <c r="A8" t="s">
        <v>26</v>
      </c>
      <c r="B8" t="s">
        <v>27</v>
      </c>
      <c r="C8" t="s">
        <v>14</v>
      </c>
      <c r="D8" t="s">
        <v>23</v>
      </c>
      <c r="E8">
        <v>22</v>
      </c>
      <c r="F8">
        <v>550</v>
      </c>
      <c r="G8">
        <v>12</v>
      </c>
      <c r="H8">
        <v>300</v>
      </c>
      <c r="I8" t="str">
        <f t="shared" si="0"/>
        <v>Friedman Jeffre</v>
      </c>
      <c r="K8">
        <f t="shared" si="1"/>
        <v>12100</v>
      </c>
      <c r="L8">
        <f t="shared" si="2"/>
        <v>103.125</v>
      </c>
      <c r="M8">
        <f t="shared" si="3"/>
        <v>1237.5</v>
      </c>
      <c r="N8">
        <f t="shared" si="4"/>
        <v>1815</v>
      </c>
      <c r="O8" s="2">
        <f t="shared" si="5"/>
        <v>15152.5</v>
      </c>
      <c r="P8" s="2">
        <f t="shared" si="6"/>
        <v>14852.5</v>
      </c>
    </row>
    <row r="9" spans="1:16" x14ac:dyDescent="0.3">
      <c r="A9" t="s">
        <v>28</v>
      </c>
      <c r="B9" t="s">
        <v>29</v>
      </c>
      <c r="C9" t="s">
        <v>14</v>
      </c>
      <c r="D9" t="s">
        <v>18</v>
      </c>
      <c r="E9">
        <v>25</v>
      </c>
      <c r="F9">
        <v>500</v>
      </c>
      <c r="G9">
        <v>13</v>
      </c>
      <c r="H9">
        <v>2500</v>
      </c>
      <c r="I9" t="str">
        <f t="shared" si="0"/>
        <v>Hulken Guerra</v>
      </c>
      <c r="K9">
        <f t="shared" si="1"/>
        <v>12500</v>
      </c>
      <c r="L9">
        <f t="shared" si="2"/>
        <v>93.75</v>
      </c>
      <c r="M9">
        <f t="shared" si="3"/>
        <v>1218.75</v>
      </c>
      <c r="N9">
        <f t="shared" si="4"/>
        <v>1875</v>
      </c>
      <c r="O9" s="2">
        <f t="shared" si="5"/>
        <v>15593.75</v>
      </c>
      <c r="P9" s="2">
        <f t="shared" si="6"/>
        <v>13093.75</v>
      </c>
    </row>
    <row r="10" spans="1:16" x14ac:dyDescent="0.3">
      <c r="A10" t="s">
        <v>30</v>
      </c>
      <c r="B10" t="s">
        <v>31</v>
      </c>
      <c r="C10" t="s">
        <v>14</v>
      </c>
      <c r="D10" t="s">
        <v>11</v>
      </c>
      <c r="E10">
        <v>27</v>
      </c>
      <c r="F10">
        <v>525</v>
      </c>
      <c r="G10">
        <v>8</v>
      </c>
      <c r="H10">
        <v>0</v>
      </c>
      <c r="I10" t="str">
        <f t="shared" si="0"/>
        <v xml:space="preserve">Riley Bailey </v>
      </c>
      <c r="K10">
        <f t="shared" si="1"/>
        <v>14175</v>
      </c>
      <c r="L10">
        <f t="shared" si="2"/>
        <v>98.4375</v>
      </c>
      <c r="M10">
        <f t="shared" si="3"/>
        <v>787.5</v>
      </c>
      <c r="N10">
        <f t="shared" si="4"/>
        <v>2126.25</v>
      </c>
      <c r="O10" s="2">
        <f t="shared" si="5"/>
        <v>17088.75</v>
      </c>
      <c r="P10" s="2">
        <f t="shared" si="6"/>
        <v>17088.75</v>
      </c>
    </row>
    <row r="11" spans="1:16" x14ac:dyDescent="0.3">
      <c r="A11" t="s">
        <v>32</v>
      </c>
      <c r="B11" t="s">
        <v>33</v>
      </c>
      <c r="C11" t="s">
        <v>10</v>
      </c>
      <c r="D11" t="s">
        <v>18</v>
      </c>
      <c r="E11">
        <v>24</v>
      </c>
      <c r="F11">
        <v>1200</v>
      </c>
      <c r="G11">
        <v>6</v>
      </c>
      <c r="H11">
        <v>690</v>
      </c>
      <c r="I11" t="str">
        <f t="shared" si="0"/>
        <v>Xavier Miguel</v>
      </c>
      <c r="K11">
        <f t="shared" si="1"/>
        <v>28800</v>
      </c>
      <c r="L11">
        <f t="shared" si="2"/>
        <v>225</v>
      </c>
      <c r="M11">
        <f t="shared" si="3"/>
        <v>1350</v>
      </c>
      <c r="N11">
        <f t="shared" si="4"/>
        <v>12960</v>
      </c>
      <c r="O11" s="2">
        <f t="shared" si="5"/>
        <v>43110</v>
      </c>
      <c r="P11" s="2">
        <f t="shared" si="6"/>
        <v>42420</v>
      </c>
    </row>
    <row r="13" spans="1:16" x14ac:dyDescent="0.3">
      <c r="A13" t="s">
        <v>2</v>
      </c>
      <c r="B13" t="s">
        <v>34</v>
      </c>
      <c r="C13" t="s">
        <v>35</v>
      </c>
      <c r="D13" t="s">
        <v>36</v>
      </c>
    </row>
    <row r="14" spans="1:16" x14ac:dyDescent="0.3">
      <c r="A14" t="s">
        <v>10</v>
      </c>
      <c r="B14" s="1">
        <v>0.45</v>
      </c>
      <c r="C14" s="2">
        <f>SUM(P2:P11)</f>
        <v>286902.5</v>
      </c>
      <c r="D14">
        <f>COUNTA(B2:B11)</f>
        <v>10</v>
      </c>
    </row>
    <row r="15" spans="1:16" x14ac:dyDescent="0.3">
      <c r="A15" t="s">
        <v>17</v>
      </c>
      <c r="B15" s="1">
        <v>0.25</v>
      </c>
    </row>
    <row r="16" spans="1:16" x14ac:dyDescent="0.3">
      <c r="A16" t="s">
        <v>14</v>
      </c>
      <c r="B16" s="1">
        <v>0.15</v>
      </c>
    </row>
  </sheetData>
  <conditionalFormatting sqref="P2:P11">
    <cfRule type="cellIs" dxfId="3" priority="1" operator="between">
      <formula>15000</formula>
      <formula>20000</formula>
    </cfRule>
    <cfRule type="cellIs" dxfId="2" priority="2" operator="between">
      <formula>15000</formula>
      <formula>20000</formula>
    </cfRule>
  </conditionalFormatting>
  <dataValidations xWindow="224" yWindow="643" count="3">
    <dataValidation type="custom" allowBlank="1" showInputMessage="1" showErrorMessage="1" promptTitle="ABC" prompt="first 3 ABC" sqref="A1:A11" xr:uid="{0B6D5492-DC28-480D-8904-89C6D6BF1434}">
      <formula1>"ABC"</formula1>
    </dataValidation>
    <dataValidation type="whole" allowBlank="1" showInputMessage="1" showErrorMessage="1" sqref="E1" xr:uid="{0723DD3F-FD74-4658-A2FF-5329B4C7DCB4}">
      <formula1>0</formula1>
      <formula2>30</formula2>
    </dataValidation>
    <dataValidation type="whole" allowBlank="1" showInputMessage="1" showErrorMessage="1" promptTitle="s" prompt="dd" sqref="E2:E11" xr:uid="{8E69EAC6-F184-4A7A-A290-EBC3AAAA6F9E}">
      <formula1>0</formula1>
      <formula2>30</formula2>
    </dataValidation>
  </dataValidations>
  <pageMargins left="0.7" right="0.7" top="0.75" bottom="0.75" header="0.3" footer="0.3"/>
  <pageSetup orientation="portrait" r:id="rId1"/>
  <headerFooter>
    <oddHeader xml:space="preserve">&amp;L2024.02.5&amp;R2021ict51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5312-7EA9-43AA-8F25-94C0EA529CB8}">
  <dimension ref="A1:P22"/>
  <sheetViews>
    <sheetView tabSelected="1" workbookViewId="0">
      <selection activeCell="C22" sqref="C22"/>
    </sheetView>
  </sheetViews>
  <sheetFormatPr defaultRowHeight="14.4" x14ac:dyDescent="0.3"/>
  <cols>
    <col min="1" max="1" width="10.88671875" bestFit="1" customWidth="1"/>
    <col min="2" max="2" width="21.77734375" bestFit="1" customWidth="1"/>
    <col min="3" max="3" width="14.33203125" bestFit="1" customWidth="1"/>
    <col min="9" max="9" width="13.77734375" bestFit="1" customWidth="1"/>
    <col min="10" max="10" width="11.88671875" customWidth="1"/>
    <col min="11" max="11" width="10.5546875" customWidth="1"/>
    <col min="12" max="12" width="6.77734375" customWidth="1"/>
    <col min="14" max="14" width="10.33203125" customWidth="1"/>
    <col min="15" max="16" width="13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>
        <v>20</v>
      </c>
      <c r="F2">
        <v>1500</v>
      </c>
      <c r="G2">
        <v>7</v>
      </c>
      <c r="H2">
        <v>450</v>
      </c>
      <c r="I2" t="str">
        <f>TRIM(LEFT(B2,LEN(B2)-FIND(" ",B2)))</f>
        <v>Belfield An</v>
      </c>
      <c r="K2">
        <f t="shared" ref="K2:K11" si="0">E2*F2</f>
        <v>30000</v>
      </c>
      <c r="L2">
        <f t="shared" ref="L2:L11" si="1">(F2/8)*1.5</f>
        <v>281.25</v>
      </c>
      <c r="M2">
        <f t="shared" ref="M2:M11" si="2">L2*G2</f>
        <v>1968.75</v>
      </c>
      <c r="N2">
        <f t="shared" ref="N2:N11" si="3">VLOOKUP(C2,$A$13:$B$16,2,FALSE)*K2</f>
        <v>7500</v>
      </c>
      <c r="O2" s="2">
        <f t="shared" ref="O2:O11" si="4">K2+M2+N2</f>
        <v>39468.75</v>
      </c>
      <c r="P2" s="2">
        <f t="shared" ref="P2:P11" si="5">O2-H2</f>
        <v>39018.75</v>
      </c>
    </row>
    <row r="3" spans="1:16" x14ac:dyDescent="0.3">
      <c r="A3" t="s">
        <v>12</v>
      </c>
      <c r="B3" t="s">
        <v>13</v>
      </c>
      <c r="C3" t="s">
        <v>14</v>
      </c>
      <c r="D3" t="s">
        <v>11</v>
      </c>
      <c r="E3">
        <v>26</v>
      </c>
      <c r="F3">
        <v>500</v>
      </c>
      <c r="G3">
        <v>10</v>
      </c>
      <c r="H3">
        <v>0</v>
      </c>
      <c r="I3" t="str">
        <f t="shared" ref="I3:I11" si="6">LEFT(B3,LEN(B3)-SEARCH(" ",B3)-SEARCH(" ",B3))</f>
        <v>Be</v>
      </c>
      <c r="K3">
        <f t="shared" si="0"/>
        <v>13000</v>
      </c>
      <c r="L3">
        <f t="shared" si="1"/>
        <v>93.75</v>
      </c>
      <c r="M3">
        <f t="shared" si="2"/>
        <v>937.5</v>
      </c>
      <c r="N3">
        <f t="shared" si="3"/>
        <v>1950</v>
      </c>
      <c r="O3" s="2">
        <f t="shared" si="4"/>
        <v>15887.5</v>
      </c>
      <c r="P3" s="2">
        <f t="shared" si="5"/>
        <v>15887.5</v>
      </c>
    </row>
    <row r="4" spans="1:16" x14ac:dyDescent="0.3">
      <c r="A4" t="s">
        <v>19</v>
      </c>
      <c r="B4" t="s">
        <v>20</v>
      </c>
      <c r="C4" t="s">
        <v>14</v>
      </c>
      <c r="D4" t="s">
        <v>18</v>
      </c>
      <c r="E4">
        <v>26</v>
      </c>
      <c r="F4">
        <v>650</v>
      </c>
      <c r="G4">
        <v>14</v>
      </c>
      <c r="H4">
        <v>760</v>
      </c>
      <c r="I4" t="str">
        <f t="shared" si="6"/>
        <v>Gri</v>
      </c>
      <c r="K4">
        <f t="shared" si="0"/>
        <v>16900</v>
      </c>
      <c r="L4">
        <f t="shared" si="1"/>
        <v>121.875</v>
      </c>
      <c r="M4">
        <f t="shared" si="2"/>
        <v>1706.25</v>
      </c>
      <c r="N4">
        <f t="shared" si="3"/>
        <v>2535</v>
      </c>
      <c r="O4" s="2">
        <f t="shared" si="4"/>
        <v>21141.25</v>
      </c>
      <c r="P4" s="2">
        <f t="shared" si="5"/>
        <v>20381.25</v>
      </c>
    </row>
    <row r="5" spans="1:16" x14ac:dyDescent="0.3">
      <c r="A5" t="s">
        <v>24</v>
      </c>
      <c r="B5" t="s">
        <v>25</v>
      </c>
      <c r="C5" t="s">
        <v>14</v>
      </c>
      <c r="D5" t="s">
        <v>23</v>
      </c>
      <c r="E5">
        <v>18</v>
      </c>
      <c r="F5">
        <v>600</v>
      </c>
      <c r="G5">
        <v>10</v>
      </c>
      <c r="H5">
        <v>1250</v>
      </c>
      <c r="I5" t="str">
        <f t="shared" si="6"/>
        <v>Ray Frenc</v>
      </c>
      <c r="K5">
        <f t="shared" si="0"/>
        <v>10800</v>
      </c>
      <c r="L5">
        <f t="shared" si="1"/>
        <v>112.5</v>
      </c>
      <c r="M5">
        <f t="shared" si="2"/>
        <v>1125</v>
      </c>
      <c r="N5">
        <f t="shared" si="3"/>
        <v>1620</v>
      </c>
      <c r="O5" s="2">
        <f t="shared" si="4"/>
        <v>13545</v>
      </c>
      <c r="P5" s="2">
        <f t="shared" si="5"/>
        <v>12295</v>
      </c>
    </row>
    <row r="6" spans="1:16" x14ac:dyDescent="0.3">
      <c r="A6" t="s">
        <v>26</v>
      </c>
      <c r="B6" t="s">
        <v>27</v>
      </c>
      <c r="C6" t="s">
        <v>14</v>
      </c>
      <c r="D6" t="s">
        <v>23</v>
      </c>
      <c r="E6">
        <v>22</v>
      </c>
      <c r="F6">
        <v>550</v>
      </c>
      <c r="G6">
        <v>12</v>
      </c>
      <c r="H6">
        <v>300</v>
      </c>
      <c r="I6" t="str">
        <f t="shared" si="6"/>
        <v>Friedm</v>
      </c>
      <c r="K6">
        <f t="shared" si="0"/>
        <v>12100</v>
      </c>
      <c r="L6">
        <f t="shared" si="1"/>
        <v>103.125</v>
      </c>
      <c r="M6">
        <f t="shared" si="2"/>
        <v>1237.5</v>
      </c>
      <c r="N6">
        <f t="shared" si="3"/>
        <v>1815</v>
      </c>
      <c r="O6" s="2">
        <f t="shared" si="4"/>
        <v>15152.5</v>
      </c>
      <c r="P6" s="2">
        <f t="shared" si="5"/>
        <v>14852.5</v>
      </c>
    </row>
    <row r="7" spans="1:16" x14ac:dyDescent="0.3">
      <c r="A7" t="s">
        <v>28</v>
      </c>
      <c r="B7" t="s">
        <v>29</v>
      </c>
      <c r="C7" t="s">
        <v>14</v>
      </c>
      <c r="D7" t="s">
        <v>18</v>
      </c>
      <c r="E7">
        <v>25</v>
      </c>
      <c r="F7">
        <v>500</v>
      </c>
      <c r="G7">
        <v>13</v>
      </c>
      <c r="H7">
        <v>2500</v>
      </c>
      <c r="I7" t="str">
        <f t="shared" si="6"/>
        <v>Hulken</v>
      </c>
      <c r="K7">
        <f t="shared" si="0"/>
        <v>12500</v>
      </c>
      <c r="L7">
        <f t="shared" si="1"/>
        <v>93.75</v>
      </c>
      <c r="M7">
        <f t="shared" si="2"/>
        <v>1218.75</v>
      </c>
      <c r="N7">
        <f t="shared" si="3"/>
        <v>1875</v>
      </c>
      <c r="O7" s="2">
        <f t="shared" si="4"/>
        <v>15593.75</v>
      </c>
      <c r="P7" s="2">
        <f t="shared" si="5"/>
        <v>13093.75</v>
      </c>
    </row>
    <row r="8" spans="1:16" x14ac:dyDescent="0.3">
      <c r="A8" t="s">
        <v>30</v>
      </c>
      <c r="B8" t="s">
        <v>31</v>
      </c>
      <c r="C8" t="s">
        <v>14</v>
      </c>
      <c r="D8" t="s">
        <v>11</v>
      </c>
      <c r="E8">
        <v>27</v>
      </c>
      <c r="F8">
        <v>525</v>
      </c>
      <c r="G8">
        <v>8</v>
      </c>
      <c r="H8">
        <v>0</v>
      </c>
      <c r="I8" t="str">
        <f t="shared" si="6"/>
        <v>Riley B</v>
      </c>
      <c r="K8">
        <f t="shared" si="0"/>
        <v>14175</v>
      </c>
      <c r="L8">
        <f t="shared" si="1"/>
        <v>98.4375</v>
      </c>
      <c r="M8">
        <f t="shared" si="2"/>
        <v>787.5</v>
      </c>
      <c r="N8">
        <f t="shared" si="3"/>
        <v>2126.25</v>
      </c>
      <c r="O8" s="2">
        <f t="shared" si="4"/>
        <v>17088.75</v>
      </c>
      <c r="P8" s="2">
        <f t="shared" si="5"/>
        <v>17088.75</v>
      </c>
    </row>
    <row r="9" spans="1:16" x14ac:dyDescent="0.3">
      <c r="A9" t="s">
        <v>8</v>
      </c>
      <c r="B9" t="s">
        <v>9</v>
      </c>
      <c r="C9" t="s">
        <v>10</v>
      </c>
      <c r="D9" t="s">
        <v>11</v>
      </c>
      <c r="E9">
        <v>27</v>
      </c>
      <c r="F9">
        <v>1250</v>
      </c>
      <c r="G9">
        <v>20</v>
      </c>
      <c r="H9">
        <v>1200</v>
      </c>
      <c r="I9" t="str">
        <f t="shared" si="6"/>
        <v>Be</v>
      </c>
      <c r="K9">
        <f t="shared" si="0"/>
        <v>33750</v>
      </c>
      <c r="L9">
        <f t="shared" si="1"/>
        <v>234.375</v>
      </c>
      <c r="M9">
        <f t="shared" si="2"/>
        <v>4687.5</v>
      </c>
      <c r="N9">
        <f t="shared" si="3"/>
        <v>15187.5</v>
      </c>
      <c r="O9" s="2">
        <f t="shared" si="4"/>
        <v>53625</v>
      </c>
      <c r="P9" s="2">
        <f t="shared" si="5"/>
        <v>52425</v>
      </c>
    </row>
    <row r="10" spans="1:16" x14ac:dyDescent="0.3">
      <c r="A10" t="s">
        <v>21</v>
      </c>
      <c r="B10" t="s">
        <v>22</v>
      </c>
      <c r="C10" t="s">
        <v>10</v>
      </c>
      <c r="D10" t="s">
        <v>23</v>
      </c>
      <c r="E10">
        <v>28</v>
      </c>
      <c r="F10">
        <v>1400</v>
      </c>
      <c r="G10">
        <v>12</v>
      </c>
      <c r="H10">
        <v>550</v>
      </c>
      <c r="I10" t="str">
        <f t="shared" si="6"/>
        <v xml:space="preserve">Ayaan </v>
      </c>
      <c r="K10">
        <f t="shared" si="0"/>
        <v>39200</v>
      </c>
      <c r="L10">
        <f t="shared" si="1"/>
        <v>262.5</v>
      </c>
      <c r="M10">
        <f t="shared" si="2"/>
        <v>3150</v>
      </c>
      <c r="N10">
        <f t="shared" si="3"/>
        <v>17640</v>
      </c>
      <c r="O10" s="2">
        <f t="shared" si="4"/>
        <v>59990</v>
      </c>
      <c r="P10" s="2">
        <f t="shared" si="5"/>
        <v>59440</v>
      </c>
    </row>
    <row r="11" spans="1:16" x14ac:dyDescent="0.3">
      <c r="A11" t="s">
        <v>32</v>
      </c>
      <c r="B11" t="s">
        <v>33</v>
      </c>
      <c r="C11" t="s">
        <v>10</v>
      </c>
      <c r="D11" t="s">
        <v>18</v>
      </c>
      <c r="E11">
        <v>24</v>
      </c>
      <c r="F11">
        <v>1200</v>
      </c>
      <c r="G11">
        <v>6</v>
      </c>
      <c r="H11">
        <v>690</v>
      </c>
      <c r="I11" t="str">
        <f t="shared" si="6"/>
        <v>Xavier</v>
      </c>
      <c r="K11">
        <f t="shared" si="0"/>
        <v>28800</v>
      </c>
      <c r="L11">
        <f t="shared" si="1"/>
        <v>225</v>
      </c>
      <c r="M11">
        <f t="shared" si="2"/>
        <v>1350</v>
      </c>
      <c r="N11">
        <f t="shared" si="3"/>
        <v>12960</v>
      </c>
      <c r="O11" s="2">
        <f t="shared" si="4"/>
        <v>43110</v>
      </c>
      <c r="P11" s="2">
        <f t="shared" si="5"/>
        <v>42420</v>
      </c>
    </row>
    <row r="13" spans="1:16" x14ac:dyDescent="0.3">
      <c r="A13" t="s">
        <v>2</v>
      </c>
      <c r="B13" t="s">
        <v>34</v>
      </c>
      <c r="C13" t="s">
        <v>35</v>
      </c>
      <c r="D13" t="s">
        <v>36</v>
      </c>
    </row>
    <row r="14" spans="1:16" x14ac:dyDescent="0.3">
      <c r="A14" t="s">
        <v>10</v>
      </c>
      <c r="B14" s="1">
        <v>0.45</v>
      </c>
      <c r="C14" s="2">
        <f>SUM(P2:P11)</f>
        <v>286902.5</v>
      </c>
      <c r="D14">
        <f>COUNTA(B2:B11)</f>
        <v>10</v>
      </c>
    </row>
    <row r="15" spans="1:16" x14ac:dyDescent="0.3">
      <c r="A15" t="s">
        <v>17</v>
      </c>
      <c r="B15" s="1">
        <v>0.25</v>
      </c>
    </row>
    <row r="16" spans="1:16" x14ac:dyDescent="0.3">
      <c r="A16" t="s">
        <v>14</v>
      </c>
      <c r="B16" s="1">
        <v>0.15</v>
      </c>
    </row>
    <row r="22" spans="3:3" x14ac:dyDescent="0.3">
      <c r="C22" t="str">
        <f>LEFT(B2,FIND(" ",B2,1)-1)</f>
        <v>Belfield</v>
      </c>
    </row>
  </sheetData>
  <sortState xmlns:xlrd2="http://schemas.microsoft.com/office/spreadsheetml/2017/richdata2" ref="A2:P11">
    <sortCondition ref="C1:C11"/>
  </sortState>
  <conditionalFormatting sqref="P2:P11">
    <cfRule type="cellIs" dxfId="1" priority="1" operator="between">
      <formula>15000</formula>
      <formula>20000</formula>
    </cfRule>
    <cfRule type="cellIs" dxfId="0" priority="2" operator="between">
      <formula>15000</formula>
      <formula>20000</formula>
    </cfRule>
  </conditionalFormatting>
  <dataValidations count="3">
    <dataValidation type="whole" allowBlank="1" showInputMessage="1" showErrorMessage="1" promptTitle="s" prompt="dd" sqref="E2:E11" xr:uid="{92FB0767-EF5F-4BC8-B15A-58FF284D9183}">
      <formula1>0</formula1>
      <formula2>30</formula2>
    </dataValidation>
    <dataValidation type="whole" allowBlank="1" showInputMessage="1" showErrorMessage="1" sqref="E1" xr:uid="{32E6A9E3-9AA5-4133-8ED9-2BB820F070AD}">
      <formula1>0</formula1>
      <formula2>30</formula2>
    </dataValidation>
    <dataValidation type="custom" allowBlank="1" showInputMessage="1" showErrorMessage="1" promptTitle="ABC" prompt="first 3 ABC" sqref="A1:A11" xr:uid="{E67C0638-A8F8-4E42-BAAE-4E2B49D41273}">
      <formula1>"ABC"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Emplyee Paysheet</vt:lpstr>
      <vt:lpstr>sort by assending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Sharanjana Ragunathan</dc:creator>
  <cp:lastModifiedBy>Sharanjana Ragunathan</cp:lastModifiedBy>
  <dcterms:created xsi:type="dcterms:W3CDTF">2024-02-05T16:35:47Z</dcterms:created>
  <dcterms:modified xsi:type="dcterms:W3CDTF">2024-02-06T02:18:40Z</dcterms:modified>
</cp:coreProperties>
</file>